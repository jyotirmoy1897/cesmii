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 Research Dr.Lee - Idalia Cisneros\Experiment 2 - Dr. Lee\"/>
    </mc:Choice>
  </mc:AlternateContent>
  <xr:revisionPtr revIDLastSave="0" documentId="8_{54E4A4B3-6CEE-44FC-A2C9-30347C22B8AC}" xr6:coauthVersionLast="47" xr6:coauthVersionMax="47" xr10:uidLastSave="{00000000-0000-0000-0000-000000000000}"/>
  <bookViews>
    <workbookView xWindow="-120" yWindow="-120" windowWidth="20730" windowHeight="11160" xr2:uid="{7752D345-0D5D-4753-96D5-55EB306E3B4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F7" i="1"/>
  <c r="H6" i="1" s="1"/>
  <c r="F8" i="1"/>
  <c r="G8" i="1" s="1"/>
  <c r="F9" i="1"/>
  <c r="H8" i="1" s="1"/>
  <c r="F10" i="1"/>
  <c r="G10" i="1" s="1"/>
  <c r="F11" i="1"/>
  <c r="H10" i="1" s="1"/>
  <c r="F12" i="1"/>
  <c r="G12" i="1" s="1"/>
  <c r="F13" i="1"/>
  <c r="H12" i="1" s="1"/>
  <c r="F14" i="1"/>
  <c r="G14" i="1" s="1"/>
  <c r="F15" i="1"/>
  <c r="H14" i="1" s="1"/>
  <c r="F16" i="1"/>
  <c r="G16" i="1" s="1"/>
  <c r="F17" i="1"/>
  <c r="H16" i="1" s="1"/>
  <c r="F18" i="1"/>
  <c r="G18" i="1" s="1"/>
  <c r="F19" i="1"/>
  <c r="H18" i="1" s="1"/>
  <c r="F20" i="1"/>
  <c r="G20" i="1" s="1"/>
  <c r="F21" i="1"/>
  <c r="H20" i="1" s="1"/>
  <c r="F22" i="1"/>
  <c r="G22" i="1" s="1"/>
  <c r="F23" i="1"/>
  <c r="H22" i="1" s="1"/>
  <c r="F24" i="1"/>
  <c r="G24" i="1" s="1"/>
  <c r="F25" i="1"/>
  <c r="H24" i="1" s="1"/>
  <c r="F26" i="1"/>
  <c r="G26" i="1" s="1"/>
  <c r="F27" i="1"/>
  <c r="H26" i="1" s="1"/>
  <c r="F28" i="1"/>
  <c r="G28" i="1" s="1"/>
  <c r="F29" i="1"/>
  <c r="H28" i="1" s="1"/>
  <c r="F30" i="1"/>
  <c r="G30" i="1" s="1"/>
  <c r="F31" i="1"/>
  <c r="H30" i="1" s="1"/>
  <c r="F32" i="1"/>
  <c r="G32" i="1" s="1"/>
  <c r="F33" i="1"/>
  <c r="H32" i="1" s="1"/>
  <c r="F34" i="1"/>
  <c r="G34" i="1" s="1"/>
  <c r="F35" i="1"/>
  <c r="H34" i="1" s="1"/>
  <c r="F36" i="1"/>
  <c r="G36" i="1" s="1"/>
  <c r="F37" i="1"/>
  <c r="H36" i="1" s="1"/>
  <c r="F38" i="1"/>
  <c r="G38" i="1" s="1"/>
  <c r="F39" i="1"/>
  <c r="H38" i="1" s="1"/>
  <c r="F40" i="1"/>
  <c r="G40" i="1" s="1"/>
  <c r="F41" i="1"/>
  <c r="H40" i="1" s="1"/>
  <c r="F5" i="1"/>
  <c r="H4" i="1" s="1"/>
  <c r="F4" i="1"/>
  <c r="G4" i="1" s="1"/>
  <c r="F3" i="1"/>
  <c r="H2" i="1" s="1"/>
  <c r="F2" i="1"/>
  <c r="G2" i="1" s="1"/>
</calcChain>
</file>

<file path=xl/sharedStrings.xml><?xml version="1.0" encoding="utf-8"?>
<sst xmlns="http://schemas.openxmlformats.org/spreadsheetml/2006/main" count="51" uniqueCount="29">
  <si>
    <t xml:space="preserve">Trial </t>
  </si>
  <si>
    <t>Left</t>
  </si>
  <si>
    <t>Left Center</t>
  </si>
  <si>
    <t>Right Center</t>
  </si>
  <si>
    <t xml:space="preserve">Right </t>
  </si>
  <si>
    <t>Average</t>
  </si>
  <si>
    <t>Ra</t>
  </si>
  <si>
    <t>Rz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</si>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</sst>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 vs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Sheet1!$B$45</c:f>
              <c:strCache>
                <c:ptCount val="1"/>
                <c:pt idx="0">
                  <c:v>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Sheet1!$A$46:$A$85</c:f>
              <c:strCache>
                <c:ptCount val="39"/>
                <c:pt idx="0">
                  <c:v>Trial 1</c:v>
                </c:pt>
                <c:pt idx="2">
                  <c:v>Trial 2</c:v>
                </c:pt>
                <c:pt idx="4">
                  <c:v>Trial 3</c:v>
                </c:pt>
                <c:pt idx="6">
                  <c:v>Trial 4</c:v>
                </c:pt>
                <c:pt idx="8">
                  <c:v>Trial 5</c:v>
                </c:pt>
                <c:pt idx="10">
                  <c:v>Trial 6</c:v>
                </c:pt>
                <c:pt idx="12">
                  <c:v>Trial 7</c:v>
                </c:pt>
                <c:pt idx="14">
                  <c:v>Trial 8</c:v>
                </c:pt>
                <c:pt idx="16">
                  <c:v>Trial 9</c:v>
                </c:pt>
                <c:pt idx="18">
                  <c:v>Trial 10</c:v>
                </c:pt>
                <c:pt idx="20">
                  <c:v>Trial 11</c:v>
                </c:pt>
                <c:pt idx="22">
                  <c:v>Trial 12</c:v>
                </c:pt>
                <c:pt idx="24">
                  <c:v>Trial 13</c:v>
                </c:pt>
                <c:pt idx="26">
                  <c:v>Trial 14</c:v>
                </c:pt>
                <c:pt idx="28">
                  <c:v>Trial 15</c:v>
                </c:pt>
                <c:pt idx="30">
                  <c:v>Trial 16</c:v>
                </c:pt>
                <c:pt idx="32">
                  <c:v>Trial 17</c:v>
                </c:pt>
                <c:pt idx="34">
                  <c:v>Trial 18</c:v>
                </c:pt>
                <c:pt idx="36">
                  <c:v>Trial 19</c:v>
                </c:pt>
                <c:pt idx="38">
                  <c:v>Trial 20</c:v>
                </c:pt>
              </c:strCache>
            </c:strRef>
          </c:xVal>
          <c:yVal>
            <c:numRef>
              <c:f>Sheet1!$B$46:$B$85</c:f>
              <c:numCache>
                <c:formatCode>General</c:formatCode>
                <c:ptCount val="40"/>
                <c:pt idx="0">
                  <c:v>7.0500000000000007E-2</c:v>
                </c:pt>
                <c:pt idx="2">
                  <c:v>9.4E-2</c:v>
                </c:pt>
                <c:pt idx="4">
                  <c:v>7.1249999999999994E-2</c:v>
                </c:pt>
                <c:pt idx="6">
                  <c:v>6.8500000000000005E-2</c:v>
                </c:pt>
                <c:pt idx="8">
                  <c:v>7.8750000000000014E-2</c:v>
                </c:pt>
                <c:pt idx="10">
                  <c:v>7.0999999999999994E-2</c:v>
                </c:pt>
                <c:pt idx="12">
                  <c:v>9.35E-2</c:v>
                </c:pt>
                <c:pt idx="14">
                  <c:v>8.2250000000000004E-2</c:v>
                </c:pt>
                <c:pt idx="16">
                  <c:v>7.825E-2</c:v>
                </c:pt>
                <c:pt idx="18">
                  <c:v>7.5749999999999998E-2</c:v>
                </c:pt>
                <c:pt idx="20">
                  <c:v>7.8E-2</c:v>
                </c:pt>
                <c:pt idx="22">
                  <c:v>8.4749999999999992E-2</c:v>
                </c:pt>
                <c:pt idx="24">
                  <c:v>7.85E-2</c:v>
                </c:pt>
                <c:pt idx="26">
                  <c:v>7.1999999999999995E-2</c:v>
                </c:pt>
                <c:pt idx="28">
                  <c:v>8.8249999999999995E-2</c:v>
                </c:pt>
                <c:pt idx="30">
                  <c:v>6.9750000000000006E-2</c:v>
                </c:pt>
                <c:pt idx="32">
                  <c:v>7.325000000000001E-2</c:v>
                </c:pt>
                <c:pt idx="34">
                  <c:v>5.8499999999999996E-2</c:v>
                </c:pt>
                <c:pt idx="36">
                  <c:v>8.0250000000000002E-2</c:v>
                </c:pt>
                <c:pt idx="38">
                  <c:v>8.6249999999999993E-2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BA-47D7-9646-C7EBCA1C6D16}"/>
            </c:ext>
          </c:extLst>
        </c:ser>
        <c:ser>
          <c:idx val="1"/>
          <c:order val="1"/>
          <c:tx>
            <c:strRef>
              <c:f>Sheet1!$C$45</c:f>
              <c:strCache>
                <c:ptCount val="1"/>
                <c:pt idx="0">
                  <c:v>Rz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Sheet1!$A$46:$A$85</c:f>
              <c:strCache>
                <c:ptCount val="39"/>
                <c:pt idx="0">
                  <c:v>Trial 1</c:v>
                </c:pt>
                <c:pt idx="2">
                  <c:v>Trial 2</c:v>
                </c:pt>
                <c:pt idx="4">
                  <c:v>Trial 3</c:v>
                </c:pt>
                <c:pt idx="6">
                  <c:v>Trial 4</c:v>
                </c:pt>
                <c:pt idx="8">
                  <c:v>Trial 5</c:v>
                </c:pt>
                <c:pt idx="10">
                  <c:v>Trial 6</c:v>
                </c:pt>
                <c:pt idx="12">
                  <c:v>Trial 7</c:v>
                </c:pt>
                <c:pt idx="14">
                  <c:v>Trial 8</c:v>
                </c:pt>
                <c:pt idx="16">
                  <c:v>Trial 9</c:v>
                </c:pt>
                <c:pt idx="18">
                  <c:v>Trial 10</c:v>
                </c:pt>
                <c:pt idx="20">
                  <c:v>Trial 11</c:v>
                </c:pt>
                <c:pt idx="22">
                  <c:v>Trial 12</c:v>
                </c:pt>
                <c:pt idx="24">
                  <c:v>Trial 13</c:v>
                </c:pt>
                <c:pt idx="26">
                  <c:v>Trial 14</c:v>
                </c:pt>
                <c:pt idx="28">
                  <c:v>Trial 15</c:v>
                </c:pt>
                <c:pt idx="30">
                  <c:v>Trial 16</c:v>
                </c:pt>
                <c:pt idx="32">
                  <c:v>Trial 17</c:v>
                </c:pt>
                <c:pt idx="34">
                  <c:v>Trial 18</c:v>
                </c:pt>
                <c:pt idx="36">
                  <c:v>Trial 19</c:v>
                </c:pt>
                <c:pt idx="38">
                  <c:v>Trial 20</c:v>
                </c:pt>
              </c:strCache>
            </c:strRef>
          </c:xVal>
          <c:yVal>
            <c:numRef>
              <c:f>Sheet1!$C$46:$C$85</c:f>
              <c:numCache>
                <c:formatCode>General</c:formatCode>
                <c:ptCount val="40"/>
                <c:pt idx="0">
                  <c:v>0.42749999999999999</c:v>
                </c:pt>
                <c:pt idx="2">
                  <c:v>0.55174999999999996</c:v>
                </c:pt>
                <c:pt idx="4">
                  <c:v>0.41625000000000001</c:v>
                </c:pt>
                <c:pt idx="6">
                  <c:v>0.36225000000000002</c:v>
                </c:pt>
                <c:pt idx="8">
                  <c:v>0.43299999999999994</c:v>
                </c:pt>
                <c:pt idx="10">
                  <c:v>0.45124999999999993</c:v>
                </c:pt>
                <c:pt idx="12">
                  <c:v>0.51174999999999993</c:v>
                </c:pt>
                <c:pt idx="14">
                  <c:v>0.52150000000000007</c:v>
                </c:pt>
                <c:pt idx="16">
                  <c:v>0.54825000000000002</c:v>
                </c:pt>
                <c:pt idx="18">
                  <c:v>0.39525000000000005</c:v>
                </c:pt>
                <c:pt idx="20">
                  <c:v>0.48700000000000004</c:v>
                </c:pt>
                <c:pt idx="22">
                  <c:v>0.58050000000000002</c:v>
                </c:pt>
                <c:pt idx="24">
                  <c:v>0.45199999999999996</c:v>
                </c:pt>
                <c:pt idx="26">
                  <c:v>0.45550000000000002</c:v>
                </c:pt>
                <c:pt idx="28">
                  <c:v>0.502</c:v>
                </c:pt>
                <c:pt idx="30">
                  <c:v>0.4365</c:v>
                </c:pt>
                <c:pt idx="32">
                  <c:v>0.42449999999999999</c:v>
                </c:pt>
                <c:pt idx="34">
                  <c:v>0.35199999999999998</c:v>
                </c:pt>
                <c:pt idx="36">
                  <c:v>0.55625000000000002</c:v>
                </c:pt>
                <c:pt idx="38">
                  <c:v>0.53075000000000006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BA-47D7-9646-C7EBCA1C6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748688"/>
        <c:axId val="1064739952"/>
      </c:scatterChart>
      <c:valAx>
        <c:axId val="106474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39952"/>
        <c:crosses val="autoZero"/>
        <c:crossBetween val="midCat"/>
      </c:valAx>
      <c:valAx>
        <c:axId val="10647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48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</xdr:row>
      <xdr:rowOff>90487</xdr:rowOff>
    </xdr:from>
    <xdr:to>
      <xdr:col>16</xdr:col>
      <xdr:colOff>590550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2C67E-0571-4616-8DD8-F6574BC25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5E96-0959-4A0E-84EA-82D46FFFB058}">
  <dimension ref="A1:H85"/>
  <sheetViews>
    <sheetView tabSelected="1" workbookViewId="0">
      <selection activeCell="T9" sqref="T8:T9"/>
    </sheetView>
  </sheetViews>
  <sheetFormatPr defaultRowHeight="15"/>
  <cols>
    <col min="3" max="3" width="10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>
        <v>6.4000000000000001E-2</v>
      </c>
      <c r="C2">
        <v>7.0999999999999994E-2</v>
      </c>
      <c r="D2">
        <v>8.5000000000000006E-2</v>
      </c>
      <c r="E2">
        <v>6.2E-2</v>
      </c>
      <c r="F2">
        <f>AVERAGE(B2:E2)</f>
        <v>7.0500000000000007E-2</v>
      </c>
      <c r="G2" s="1">
        <f>F2</f>
        <v>7.0500000000000007E-2</v>
      </c>
      <c r="H2" s="1">
        <f>F3</f>
        <v>0.42749999999999999</v>
      </c>
    </row>
    <row r="3" spans="1:8">
      <c r="A3" s="1"/>
      <c r="B3">
        <v>0.44800000000000001</v>
      </c>
      <c r="C3">
        <v>0.44700000000000001</v>
      </c>
      <c r="D3">
        <v>0.46</v>
      </c>
      <c r="E3">
        <v>0.35499999999999998</v>
      </c>
      <c r="F3">
        <f>AVERAGE(B3:E3)</f>
        <v>0.42749999999999999</v>
      </c>
      <c r="G3" s="1"/>
      <c r="H3" s="1"/>
    </row>
    <row r="4" spans="1:8">
      <c r="A4" s="1" t="s">
        <v>9</v>
      </c>
      <c r="B4">
        <v>8.5999999999999993E-2</v>
      </c>
      <c r="C4">
        <v>9.4E-2</v>
      </c>
      <c r="D4">
        <v>0.11899999999999999</v>
      </c>
      <c r="E4">
        <v>7.6999999999999999E-2</v>
      </c>
      <c r="F4">
        <f>AVERAGE(B4:E4)</f>
        <v>9.4E-2</v>
      </c>
      <c r="G4" s="1">
        <f>F4</f>
        <v>9.4E-2</v>
      </c>
      <c r="H4" s="1">
        <f>F5</f>
        <v>0.55174999999999996</v>
      </c>
    </row>
    <row r="5" spans="1:8">
      <c r="A5" s="1"/>
      <c r="B5">
        <v>0.49299999999999999</v>
      </c>
      <c r="C5">
        <v>0.504</v>
      </c>
      <c r="D5">
        <v>0.68100000000000005</v>
      </c>
      <c r="E5">
        <v>0.52900000000000003</v>
      </c>
      <c r="F5">
        <f>AVERAGE(B5:E5)</f>
        <v>0.55174999999999996</v>
      </c>
      <c r="G5" s="1"/>
      <c r="H5" s="1"/>
    </row>
    <row r="6" spans="1:8">
      <c r="A6" s="1" t="s">
        <v>10</v>
      </c>
      <c r="B6">
        <v>6.3E-2</v>
      </c>
      <c r="C6">
        <v>0.10299999999999999</v>
      </c>
      <c r="D6">
        <v>6.3E-2</v>
      </c>
      <c r="E6">
        <v>5.6000000000000001E-2</v>
      </c>
      <c r="F6">
        <f t="shared" ref="F6:F41" si="0">AVERAGE(B6:E6)</f>
        <v>7.1249999999999994E-2</v>
      </c>
      <c r="G6" s="1">
        <f>F6</f>
        <v>7.1249999999999994E-2</v>
      </c>
      <c r="H6" s="1">
        <f>F7</f>
        <v>0.41625000000000001</v>
      </c>
    </row>
    <row r="7" spans="1:8">
      <c r="A7" s="1"/>
      <c r="B7">
        <v>0.41399999999999998</v>
      </c>
      <c r="C7">
        <v>0.626</v>
      </c>
      <c r="D7">
        <v>0.33700000000000002</v>
      </c>
      <c r="E7">
        <v>0.28799999999999998</v>
      </c>
      <c r="F7">
        <f t="shared" si="0"/>
        <v>0.41625000000000001</v>
      </c>
      <c r="G7" s="1"/>
      <c r="H7" s="1"/>
    </row>
    <row r="8" spans="1:8">
      <c r="A8" s="1" t="s">
        <v>11</v>
      </c>
      <c r="B8">
        <v>0.06</v>
      </c>
      <c r="C8">
        <v>0.09</v>
      </c>
      <c r="D8">
        <v>6.4000000000000001E-2</v>
      </c>
      <c r="E8">
        <v>0.06</v>
      </c>
      <c r="F8">
        <f t="shared" si="0"/>
        <v>6.8500000000000005E-2</v>
      </c>
      <c r="G8" s="1">
        <f>F8</f>
        <v>6.8500000000000005E-2</v>
      </c>
      <c r="H8" s="1">
        <f>F9</f>
        <v>0.36225000000000002</v>
      </c>
    </row>
    <row r="9" spans="1:8">
      <c r="A9" s="1"/>
      <c r="B9">
        <v>0.33900000000000002</v>
      </c>
      <c r="C9">
        <v>0.44800000000000001</v>
      </c>
      <c r="D9">
        <v>0.38600000000000001</v>
      </c>
      <c r="E9">
        <v>0.27600000000000002</v>
      </c>
      <c r="F9">
        <f t="shared" si="0"/>
        <v>0.36225000000000002</v>
      </c>
      <c r="G9" s="1"/>
      <c r="H9" s="1"/>
    </row>
    <row r="10" spans="1:8">
      <c r="A10" s="1" t="s">
        <v>12</v>
      </c>
      <c r="B10">
        <v>8.4000000000000005E-2</v>
      </c>
      <c r="C10">
        <v>6.7000000000000004E-2</v>
      </c>
      <c r="D10">
        <v>9.4E-2</v>
      </c>
      <c r="E10">
        <v>7.0000000000000007E-2</v>
      </c>
      <c r="F10">
        <f t="shared" si="0"/>
        <v>7.8750000000000014E-2</v>
      </c>
      <c r="G10" s="1">
        <f>F10</f>
        <v>7.8750000000000014E-2</v>
      </c>
      <c r="H10" s="1">
        <f>F11</f>
        <v>0.43299999999999994</v>
      </c>
    </row>
    <row r="11" spans="1:8">
      <c r="A11" s="1"/>
      <c r="B11">
        <v>0.47699999999999998</v>
      </c>
      <c r="C11">
        <v>0.40799999999999997</v>
      </c>
      <c r="D11">
        <v>0.47499999999999998</v>
      </c>
      <c r="E11">
        <v>0.372</v>
      </c>
      <c r="F11">
        <f t="shared" si="0"/>
        <v>0.43299999999999994</v>
      </c>
      <c r="G11" s="1"/>
      <c r="H11" s="1"/>
    </row>
    <row r="12" spans="1:8">
      <c r="A12" s="1" t="s">
        <v>13</v>
      </c>
      <c r="B12">
        <v>7.0999999999999994E-2</v>
      </c>
      <c r="C12">
        <v>8.5999999999999993E-2</v>
      </c>
      <c r="D12">
        <v>7.2999999999999995E-2</v>
      </c>
      <c r="E12">
        <v>5.3999999999999999E-2</v>
      </c>
      <c r="F12">
        <f t="shared" si="0"/>
        <v>7.0999999999999994E-2</v>
      </c>
      <c r="G12" s="1">
        <f>F12</f>
        <v>7.0999999999999994E-2</v>
      </c>
      <c r="H12" s="1">
        <f>F13</f>
        <v>0.45124999999999993</v>
      </c>
    </row>
    <row r="13" spans="1:8">
      <c r="A13" s="1"/>
      <c r="B13">
        <v>0.46400000000000002</v>
      </c>
      <c r="C13">
        <v>0.56899999999999995</v>
      </c>
      <c r="D13">
        <v>0.41599999999999998</v>
      </c>
      <c r="E13">
        <v>0.35599999999999998</v>
      </c>
      <c r="F13">
        <f t="shared" si="0"/>
        <v>0.45124999999999993</v>
      </c>
      <c r="G13" s="1"/>
      <c r="H13" s="1"/>
    </row>
    <row r="14" spans="1:8">
      <c r="A14" s="1" t="s">
        <v>14</v>
      </c>
      <c r="B14">
        <v>7.9000000000000001E-2</v>
      </c>
      <c r="C14">
        <v>8.5999999999999993E-2</v>
      </c>
      <c r="D14">
        <v>0.108</v>
      </c>
      <c r="E14">
        <v>0.10100000000000001</v>
      </c>
      <c r="F14">
        <f t="shared" si="0"/>
        <v>9.35E-2</v>
      </c>
      <c r="G14" s="1">
        <f>F14</f>
        <v>9.35E-2</v>
      </c>
      <c r="H14" s="1">
        <f>F15</f>
        <v>0.51174999999999993</v>
      </c>
    </row>
    <row r="15" spans="1:8">
      <c r="A15" s="1"/>
      <c r="B15">
        <v>0.42099999999999999</v>
      </c>
      <c r="C15">
        <v>0.42499999999999999</v>
      </c>
      <c r="D15">
        <v>0.63200000000000001</v>
      </c>
      <c r="E15">
        <v>0.56899999999999995</v>
      </c>
      <c r="F15">
        <f t="shared" si="0"/>
        <v>0.51174999999999993</v>
      </c>
      <c r="G15" s="1"/>
      <c r="H15" s="1"/>
    </row>
    <row r="16" spans="1:8">
      <c r="A16" s="1" t="s">
        <v>15</v>
      </c>
      <c r="B16">
        <v>7.3999999999999996E-2</v>
      </c>
      <c r="C16">
        <v>7.2999999999999995E-2</v>
      </c>
      <c r="D16">
        <v>0.114</v>
      </c>
      <c r="E16">
        <v>6.8000000000000005E-2</v>
      </c>
      <c r="F16">
        <f t="shared" si="0"/>
        <v>8.2250000000000004E-2</v>
      </c>
      <c r="G16" s="1">
        <f>F16</f>
        <v>8.2250000000000004E-2</v>
      </c>
      <c r="H16" s="1">
        <f>F17</f>
        <v>0.52150000000000007</v>
      </c>
    </row>
    <row r="17" spans="1:8">
      <c r="A17" s="1"/>
      <c r="B17">
        <v>0.52900000000000003</v>
      </c>
      <c r="C17">
        <v>0.59</v>
      </c>
      <c r="D17">
        <v>0.57399999999999995</v>
      </c>
      <c r="E17">
        <v>0.39300000000000002</v>
      </c>
      <c r="F17">
        <f t="shared" si="0"/>
        <v>0.52150000000000007</v>
      </c>
      <c r="G17" s="1"/>
      <c r="H17" s="1"/>
    </row>
    <row r="18" spans="1:8">
      <c r="A18" s="1" t="s">
        <v>16</v>
      </c>
      <c r="B18">
        <v>7.2999999999999995E-2</v>
      </c>
      <c r="C18">
        <v>6.2E-2</v>
      </c>
      <c r="D18">
        <v>7.2999999999999995E-2</v>
      </c>
      <c r="E18">
        <v>0.105</v>
      </c>
      <c r="F18">
        <f t="shared" si="0"/>
        <v>7.825E-2</v>
      </c>
      <c r="G18" s="1">
        <f>F18</f>
        <v>7.825E-2</v>
      </c>
      <c r="H18" s="1">
        <f>F19</f>
        <v>0.54825000000000002</v>
      </c>
    </row>
    <row r="19" spans="1:8">
      <c r="A19" s="1"/>
      <c r="B19">
        <v>0.41399999999999998</v>
      </c>
      <c r="C19">
        <v>0.371</v>
      </c>
      <c r="D19">
        <v>0.66300000000000003</v>
      </c>
      <c r="E19">
        <v>0.745</v>
      </c>
      <c r="F19">
        <f t="shared" si="0"/>
        <v>0.54825000000000002</v>
      </c>
      <c r="G19" s="1"/>
      <c r="H19" s="1"/>
    </row>
    <row r="20" spans="1:8">
      <c r="A20" s="1" t="s">
        <v>17</v>
      </c>
      <c r="B20">
        <v>7.3999999999999996E-2</v>
      </c>
      <c r="C20">
        <v>6.6000000000000003E-2</v>
      </c>
      <c r="D20">
        <v>0.108</v>
      </c>
      <c r="E20">
        <v>5.5E-2</v>
      </c>
      <c r="F20">
        <f t="shared" si="0"/>
        <v>7.5749999999999998E-2</v>
      </c>
      <c r="G20" s="1">
        <f>F20</f>
        <v>7.5749999999999998E-2</v>
      </c>
      <c r="H20" s="1">
        <f>F21</f>
        <v>0.39525000000000005</v>
      </c>
    </row>
    <row r="21" spans="1:8">
      <c r="A21" s="1"/>
      <c r="B21">
        <v>0.39900000000000002</v>
      </c>
      <c r="C21">
        <v>0.315</v>
      </c>
      <c r="D21">
        <v>0.53500000000000003</v>
      </c>
      <c r="E21">
        <v>0.33200000000000002</v>
      </c>
      <c r="F21">
        <f t="shared" si="0"/>
        <v>0.39525000000000005</v>
      </c>
      <c r="G21" s="1"/>
      <c r="H21" s="1"/>
    </row>
    <row r="22" spans="1:8">
      <c r="A22" s="1" t="s">
        <v>18</v>
      </c>
      <c r="B22">
        <v>6.5000000000000002E-2</v>
      </c>
      <c r="C22">
        <v>7.4999999999999997E-2</v>
      </c>
      <c r="D22">
        <v>9.7000000000000003E-2</v>
      </c>
      <c r="E22">
        <v>7.4999999999999997E-2</v>
      </c>
      <c r="F22">
        <f t="shared" si="0"/>
        <v>7.8E-2</v>
      </c>
      <c r="G22" s="1">
        <f>F22</f>
        <v>7.8E-2</v>
      </c>
      <c r="H22" s="1">
        <f>F23</f>
        <v>0.48700000000000004</v>
      </c>
    </row>
    <row r="23" spans="1:8">
      <c r="A23" s="1"/>
      <c r="B23">
        <v>0.317</v>
      </c>
      <c r="C23">
        <v>0.438</v>
      </c>
      <c r="D23">
        <v>0.67500000000000004</v>
      </c>
      <c r="E23">
        <v>0.51800000000000002</v>
      </c>
      <c r="F23">
        <f t="shared" si="0"/>
        <v>0.48700000000000004</v>
      </c>
      <c r="G23" s="1"/>
      <c r="H23" s="1"/>
    </row>
    <row r="24" spans="1:8">
      <c r="A24" s="1" t="s">
        <v>19</v>
      </c>
      <c r="B24">
        <v>7.2999999999999995E-2</v>
      </c>
      <c r="C24">
        <v>0.09</v>
      </c>
      <c r="D24">
        <v>6.7000000000000004E-2</v>
      </c>
      <c r="E24">
        <v>0.109</v>
      </c>
      <c r="F24">
        <f t="shared" si="0"/>
        <v>8.4749999999999992E-2</v>
      </c>
      <c r="G24" s="1">
        <f>F24</f>
        <v>8.4749999999999992E-2</v>
      </c>
      <c r="H24" s="1">
        <f>F25</f>
        <v>0.58050000000000002</v>
      </c>
    </row>
    <row r="25" spans="1:8">
      <c r="A25" s="1"/>
      <c r="B25">
        <v>0.66700000000000004</v>
      </c>
      <c r="C25">
        <v>0.60699999999999998</v>
      </c>
      <c r="D25">
        <v>0.39600000000000002</v>
      </c>
      <c r="E25">
        <v>0.65200000000000002</v>
      </c>
      <c r="F25">
        <f t="shared" si="0"/>
        <v>0.58050000000000002</v>
      </c>
      <c r="G25" s="1"/>
      <c r="H25" s="1"/>
    </row>
    <row r="26" spans="1:8">
      <c r="A26" s="1" t="s">
        <v>20</v>
      </c>
      <c r="B26">
        <v>7.1999999999999995E-2</v>
      </c>
      <c r="C26">
        <v>8.1000000000000003E-2</v>
      </c>
      <c r="D26">
        <v>7.6999999999999999E-2</v>
      </c>
      <c r="E26">
        <v>8.4000000000000005E-2</v>
      </c>
      <c r="F26">
        <f t="shared" si="0"/>
        <v>7.85E-2</v>
      </c>
      <c r="G26" s="1">
        <f>F26</f>
        <v>7.85E-2</v>
      </c>
      <c r="H26" s="1">
        <f>F27</f>
        <v>0.45199999999999996</v>
      </c>
    </row>
    <row r="27" spans="1:8">
      <c r="A27" s="1"/>
      <c r="B27">
        <v>0.37</v>
      </c>
      <c r="C27">
        <v>0.51400000000000001</v>
      </c>
      <c r="D27">
        <v>0.433</v>
      </c>
      <c r="E27">
        <v>0.49099999999999999</v>
      </c>
      <c r="F27">
        <f t="shared" si="0"/>
        <v>0.45199999999999996</v>
      </c>
      <c r="G27" s="1"/>
      <c r="H27" s="1"/>
    </row>
    <row r="28" spans="1:8">
      <c r="A28" s="1" t="s">
        <v>21</v>
      </c>
      <c r="B28">
        <v>6.2E-2</v>
      </c>
      <c r="C28">
        <v>6.8000000000000005E-2</v>
      </c>
      <c r="D28">
        <v>0.106</v>
      </c>
      <c r="E28">
        <v>5.1999999999999998E-2</v>
      </c>
      <c r="F28">
        <f t="shared" si="0"/>
        <v>7.1999999999999995E-2</v>
      </c>
      <c r="G28" s="1">
        <f>F28</f>
        <v>7.1999999999999995E-2</v>
      </c>
      <c r="H28" s="1">
        <f>F29</f>
        <v>0.45550000000000002</v>
      </c>
    </row>
    <row r="29" spans="1:8">
      <c r="A29" s="1"/>
      <c r="B29">
        <v>0.36299999999999999</v>
      </c>
      <c r="C29">
        <v>0.45300000000000001</v>
      </c>
      <c r="D29">
        <v>0.624</v>
      </c>
      <c r="E29">
        <v>0.38200000000000001</v>
      </c>
      <c r="F29">
        <f t="shared" si="0"/>
        <v>0.45550000000000002</v>
      </c>
      <c r="G29" s="1"/>
      <c r="H29" s="1"/>
    </row>
    <row r="30" spans="1:8">
      <c r="A30" s="1" t="s">
        <v>22</v>
      </c>
      <c r="B30">
        <v>5.3999999999999999E-2</v>
      </c>
      <c r="C30">
        <v>8.3000000000000004E-2</v>
      </c>
      <c r="D30">
        <v>0.11799999999999999</v>
      </c>
      <c r="E30">
        <v>9.8000000000000004E-2</v>
      </c>
      <c r="F30">
        <f t="shared" si="0"/>
        <v>8.8249999999999995E-2</v>
      </c>
      <c r="G30" s="1">
        <f>F30</f>
        <v>8.8249999999999995E-2</v>
      </c>
      <c r="H30" s="1">
        <f>F31</f>
        <v>0.502</v>
      </c>
    </row>
    <row r="31" spans="1:8">
      <c r="A31" s="1"/>
      <c r="B31">
        <v>0.311</v>
      </c>
      <c r="C31">
        <v>0.55200000000000005</v>
      </c>
      <c r="D31">
        <v>0.59699999999999998</v>
      </c>
      <c r="E31">
        <v>0.54800000000000004</v>
      </c>
      <c r="F31">
        <f t="shared" si="0"/>
        <v>0.502</v>
      </c>
      <c r="G31" s="1"/>
      <c r="H31" s="1"/>
    </row>
    <row r="32" spans="1:8">
      <c r="A32" s="1" t="s">
        <v>23</v>
      </c>
      <c r="B32">
        <v>6.6000000000000003E-2</v>
      </c>
      <c r="C32">
        <v>7.0000000000000007E-2</v>
      </c>
      <c r="D32">
        <v>8.5999999999999993E-2</v>
      </c>
      <c r="E32">
        <v>5.7000000000000002E-2</v>
      </c>
      <c r="F32">
        <f t="shared" si="0"/>
        <v>6.9750000000000006E-2</v>
      </c>
      <c r="G32" s="1">
        <f>F32</f>
        <v>6.9750000000000006E-2</v>
      </c>
      <c r="H32" s="1">
        <f>F33</f>
        <v>0.4365</v>
      </c>
    </row>
    <row r="33" spans="1:8">
      <c r="A33" s="1"/>
      <c r="B33">
        <v>0.40400000000000003</v>
      </c>
      <c r="C33">
        <v>0.52600000000000002</v>
      </c>
      <c r="D33">
        <v>0.53300000000000003</v>
      </c>
      <c r="E33">
        <v>0.28299999999999997</v>
      </c>
      <c r="F33">
        <f t="shared" si="0"/>
        <v>0.4365</v>
      </c>
      <c r="G33" s="1"/>
      <c r="H33" s="1"/>
    </row>
    <row r="34" spans="1:8">
      <c r="A34" s="1" t="s">
        <v>24</v>
      </c>
      <c r="B34">
        <v>0.06</v>
      </c>
      <c r="C34">
        <v>7.8E-2</v>
      </c>
      <c r="D34">
        <v>7.2999999999999995E-2</v>
      </c>
      <c r="E34">
        <v>8.2000000000000003E-2</v>
      </c>
      <c r="F34">
        <f t="shared" si="0"/>
        <v>7.325000000000001E-2</v>
      </c>
      <c r="G34" s="1">
        <f>F34</f>
        <v>7.325000000000001E-2</v>
      </c>
      <c r="H34" s="1">
        <f>F35</f>
        <v>0.42449999999999999</v>
      </c>
    </row>
    <row r="35" spans="1:8">
      <c r="A35" s="1"/>
      <c r="B35">
        <v>0.33200000000000002</v>
      </c>
      <c r="C35">
        <v>0.54400000000000004</v>
      </c>
      <c r="D35">
        <v>0.38600000000000001</v>
      </c>
      <c r="E35">
        <v>0.436</v>
      </c>
      <c r="F35">
        <f t="shared" si="0"/>
        <v>0.42449999999999999</v>
      </c>
      <c r="G35" s="1"/>
      <c r="H35" s="1"/>
    </row>
    <row r="36" spans="1:8">
      <c r="A36" s="1" t="s">
        <v>25</v>
      </c>
      <c r="B36">
        <v>5.8999999999999997E-2</v>
      </c>
      <c r="C36">
        <v>6.3E-2</v>
      </c>
      <c r="D36">
        <v>6.3E-2</v>
      </c>
      <c r="E36">
        <v>4.9000000000000002E-2</v>
      </c>
      <c r="F36">
        <f t="shared" si="0"/>
        <v>5.8499999999999996E-2</v>
      </c>
      <c r="G36" s="1">
        <f>F36</f>
        <v>5.8499999999999996E-2</v>
      </c>
      <c r="H36" s="1">
        <f>F37</f>
        <v>0.35199999999999998</v>
      </c>
    </row>
    <row r="37" spans="1:8">
      <c r="A37" s="1"/>
      <c r="B37">
        <v>0.34399999999999997</v>
      </c>
      <c r="C37">
        <v>0.36099999999999999</v>
      </c>
      <c r="D37">
        <v>0.43</v>
      </c>
      <c r="E37">
        <v>0.27300000000000002</v>
      </c>
      <c r="F37">
        <f t="shared" si="0"/>
        <v>0.35199999999999998</v>
      </c>
      <c r="G37" s="1"/>
      <c r="H37" s="1"/>
    </row>
    <row r="38" spans="1:8">
      <c r="A38" s="1" t="s">
        <v>26</v>
      </c>
      <c r="B38">
        <v>6.0999999999999999E-2</v>
      </c>
      <c r="C38">
        <v>9.1999999999999998E-2</v>
      </c>
      <c r="D38">
        <v>0.104</v>
      </c>
      <c r="E38">
        <v>6.4000000000000001E-2</v>
      </c>
      <c r="F38">
        <f t="shared" si="0"/>
        <v>8.0250000000000002E-2</v>
      </c>
      <c r="G38" s="1">
        <f>F38</f>
        <v>8.0250000000000002E-2</v>
      </c>
      <c r="H38" s="1">
        <f>F39</f>
        <v>0.55625000000000002</v>
      </c>
    </row>
    <row r="39" spans="1:8">
      <c r="A39" s="1"/>
      <c r="B39">
        <v>0.44800000000000001</v>
      </c>
      <c r="C39">
        <v>0.48299999999999998</v>
      </c>
      <c r="D39">
        <v>0.76700000000000002</v>
      </c>
      <c r="E39">
        <v>0.52700000000000002</v>
      </c>
      <c r="F39">
        <f t="shared" si="0"/>
        <v>0.55625000000000002</v>
      </c>
      <c r="G39" s="1"/>
      <c r="H39" s="1"/>
    </row>
    <row r="40" spans="1:8">
      <c r="A40" s="1" t="s">
        <v>27</v>
      </c>
      <c r="B40">
        <v>7.4999999999999997E-2</v>
      </c>
      <c r="C40">
        <v>9.2999999999999999E-2</v>
      </c>
      <c r="D40">
        <v>0.106</v>
      </c>
      <c r="E40">
        <v>7.0999999999999994E-2</v>
      </c>
      <c r="F40">
        <f t="shared" si="0"/>
        <v>8.6249999999999993E-2</v>
      </c>
      <c r="G40" s="1">
        <f>F40</f>
        <v>8.6249999999999993E-2</v>
      </c>
      <c r="H40" s="1">
        <f>F41</f>
        <v>0.53075000000000006</v>
      </c>
    </row>
    <row r="41" spans="1:8">
      <c r="A41" s="1"/>
      <c r="B41">
        <v>0.44400000000000001</v>
      </c>
      <c r="C41">
        <v>0.60199999999999998</v>
      </c>
      <c r="D41">
        <v>0.625</v>
      </c>
      <c r="E41">
        <v>0.45200000000000001</v>
      </c>
      <c r="F41">
        <f t="shared" si="0"/>
        <v>0.53075000000000006</v>
      </c>
      <c r="G41" s="1"/>
      <c r="H41" s="1"/>
    </row>
    <row r="45" spans="1:8">
      <c r="A45" t="s">
        <v>28</v>
      </c>
      <c r="B45" t="s">
        <v>6</v>
      </c>
      <c r="C45" t="s">
        <v>7</v>
      </c>
    </row>
    <row r="46" spans="1:8">
      <c r="A46" s="1" t="s">
        <v>8</v>
      </c>
      <c r="B46" s="1">
        <v>7.0500000000000007E-2</v>
      </c>
      <c r="C46" s="1">
        <v>0.42749999999999999</v>
      </c>
    </row>
    <row r="47" spans="1:8">
      <c r="A47" s="1"/>
      <c r="B47" s="1"/>
      <c r="C47" s="1"/>
    </row>
    <row r="48" spans="1:8">
      <c r="A48" s="1" t="s">
        <v>9</v>
      </c>
      <c r="B48" s="1">
        <v>9.4E-2</v>
      </c>
      <c r="C48" s="1">
        <v>0.55174999999999996</v>
      </c>
    </row>
    <row r="49" spans="1:3">
      <c r="A49" s="1"/>
      <c r="B49" s="1"/>
      <c r="C49" s="1"/>
    </row>
    <row r="50" spans="1:3">
      <c r="A50" s="1" t="s">
        <v>10</v>
      </c>
      <c r="B50" s="1">
        <v>7.1249999999999994E-2</v>
      </c>
      <c r="C50" s="1">
        <v>0.41625000000000001</v>
      </c>
    </row>
    <row r="51" spans="1:3">
      <c r="A51" s="1"/>
      <c r="B51" s="1"/>
      <c r="C51" s="1"/>
    </row>
    <row r="52" spans="1:3">
      <c r="A52" s="1" t="s">
        <v>11</v>
      </c>
      <c r="B52" s="1">
        <v>6.8500000000000005E-2</v>
      </c>
      <c r="C52" s="1">
        <v>0.36225000000000002</v>
      </c>
    </row>
    <row r="53" spans="1:3">
      <c r="A53" s="1"/>
      <c r="B53" s="1"/>
      <c r="C53" s="1"/>
    </row>
    <row r="54" spans="1:3">
      <c r="A54" s="1" t="s">
        <v>12</v>
      </c>
      <c r="B54" s="1">
        <v>7.8750000000000014E-2</v>
      </c>
      <c r="C54" s="1">
        <v>0.43299999999999994</v>
      </c>
    </row>
    <row r="55" spans="1:3">
      <c r="A55" s="1"/>
      <c r="B55" s="1"/>
      <c r="C55" s="1"/>
    </row>
    <row r="56" spans="1:3">
      <c r="A56" s="1" t="s">
        <v>13</v>
      </c>
      <c r="B56" s="1">
        <v>7.0999999999999994E-2</v>
      </c>
      <c r="C56" s="1">
        <v>0.45124999999999993</v>
      </c>
    </row>
    <row r="57" spans="1:3">
      <c r="A57" s="1"/>
      <c r="B57" s="1"/>
      <c r="C57" s="1"/>
    </row>
    <row r="58" spans="1:3">
      <c r="A58" s="1" t="s">
        <v>14</v>
      </c>
      <c r="B58" s="1">
        <v>9.35E-2</v>
      </c>
      <c r="C58" s="1">
        <v>0.51174999999999993</v>
      </c>
    </row>
    <row r="59" spans="1:3">
      <c r="A59" s="1"/>
      <c r="B59" s="1"/>
      <c r="C59" s="1"/>
    </row>
    <row r="60" spans="1:3">
      <c r="A60" s="1" t="s">
        <v>15</v>
      </c>
      <c r="B60" s="1">
        <v>8.2250000000000004E-2</v>
      </c>
      <c r="C60" s="1">
        <v>0.52150000000000007</v>
      </c>
    </row>
    <row r="61" spans="1:3">
      <c r="A61" s="1"/>
      <c r="B61" s="1"/>
      <c r="C61" s="1"/>
    </row>
    <row r="62" spans="1:3">
      <c r="A62" s="1" t="s">
        <v>16</v>
      </c>
      <c r="B62" s="1">
        <v>7.825E-2</v>
      </c>
      <c r="C62" s="1">
        <v>0.54825000000000002</v>
      </c>
    </row>
    <row r="63" spans="1:3">
      <c r="A63" s="1"/>
      <c r="B63" s="1"/>
      <c r="C63" s="1"/>
    </row>
    <row r="64" spans="1:3">
      <c r="A64" s="1" t="s">
        <v>17</v>
      </c>
      <c r="B64" s="1">
        <v>7.5749999999999998E-2</v>
      </c>
      <c r="C64" s="1">
        <v>0.39525000000000005</v>
      </c>
    </row>
    <row r="65" spans="1:3">
      <c r="A65" s="1"/>
      <c r="B65" s="1"/>
      <c r="C65" s="1"/>
    </row>
    <row r="66" spans="1:3">
      <c r="A66" s="1" t="s">
        <v>18</v>
      </c>
      <c r="B66" s="1">
        <v>7.8E-2</v>
      </c>
      <c r="C66" s="1">
        <v>0.48700000000000004</v>
      </c>
    </row>
    <row r="67" spans="1:3">
      <c r="A67" s="1"/>
      <c r="B67" s="1"/>
      <c r="C67" s="1"/>
    </row>
    <row r="68" spans="1:3">
      <c r="A68" s="1" t="s">
        <v>19</v>
      </c>
      <c r="B68" s="1">
        <v>8.4749999999999992E-2</v>
      </c>
      <c r="C68" s="1">
        <v>0.58050000000000002</v>
      </c>
    </row>
    <row r="69" spans="1:3">
      <c r="A69" s="1"/>
      <c r="B69" s="1"/>
      <c r="C69" s="1"/>
    </row>
    <row r="70" spans="1:3">
      <c r="A70" s="1" t="s">
        <v>20</v>
      </c>
      <c r="B70" s="1">
        <v>7.85E-2</v>
      </c>
      <c r="C70" s="1">
        <v>0.45199999999999996</v>
      </c>
    </row>
    <row r="71" spans="1:3">
      <c r="A71" s="1"/>
      <c r="B71" s="1"/>
      <c r="C71" s="1"/>
    </row>
    <row r="72" spans="1:3">
      <c r="A72" s="1" t="s">
        <v>21</v>
      </c>
      <c r="B72" s="1">
        <v>7.1999999999999995E-2</v>
      </c>
      <c r="C72" s="1">
        <v>0.45550000000000002</v>
      </c>
    </row>
    <row r="73" spans="1:3">
      <c r="A73" s="1"/>
      <c r="B73" s="1"/>
      <c r="C73" s="1"/>
    </row>
    <row r="74" spans="1:3">
      <c r="A74" s="1" t="s">
        <v>22</v>
      </c>
      <c r="B74" s="1">
        <v>8.8249999999999995E-2</v>
      </c>
      <c r="C74" s="1">
        <v>0.502</v>
      </c>
    </row>
    <row r="75" spans="1:3">
      <c r="A75" s="1"/>
      <c r="B75" s="1"/>
      <c r="C75" s="1"/>
    </row>
    <row r="76" spans="1:3">
      <c r="A76" s="1" t="s">
        <v>23</v>
      </c>
      <c r="B76" s="1">
        <v>6.9750000000000006E-2</v>
      </c>
      <c r="C76" s="1">
        <v>0.4365</v>
      </c>
    </row>
    <row r="77" spans="1:3">
      <c r="A77" s="1"/>
      <c r="B77" s="1"/>
      <c r="C77" s="1"/>
    </row>
    <row r="78" spans="1:3">
      <c r="A78" s="1" t="s">
        <v>24</v>
      </c>
      <c r="B78" s="1">
        <v>7.325000000000001E-2</v>
      </c>
      <c r="C78" s="1">
        <v>0.42449999999999999</v>
      </c>
    </row>
    <row r="79" spans="1:3">
      <c r="A79" s="1"/>
      <c r="B79" s="1"/>
      <c r="C79" s="1"/>
    </row>
    <row r="80" spans="1:3">
      <c r="A80" s="1" t="s">
        <v>25</v>
      </c>
      <c r="B80" s="1">
        <v>5.8499999999999996E-2</v>
      </c>
      <c r="C80" s="1">
        <v>0.35199999999999998</v>
      </c>
    </row>
    <row r="81" spans="1:3">
      <c r="A81" s="1"/>
      <c r="B81" s="1"/>
      <c r="C81" s="1"/>
    </row>
    <row r="82" spans="1:3">
      <c r="A82" s="1" t="s">
        <v>26</v>
      </c>
      <c r="B82" s="1">
        <v>8.0250000000000002E-2</v>
      </c>
      <c r="C82" s="1">
        <v>0.55625000000000002</v>
      </c>
    </row>
    <row r="83" spans="1:3">
      <c r="A83" s="1"/>
      <c r="B83" s="1"/>
      <c r="C83" s="1"/>
    </row>
    <row r="84" spans="1:3">
      <c r="A84" s="1" t="s">
        <v>27</v>
      </c>
      <c r="B84" s="1">
        <v>8.6249999999999993E-2</v>
      </c>
      <c r="C84" s="1">
        <v>0.53075000000000006</v>
      </c>
    </row>
    <row r="85" spans="1:3">
      <c r="A85" s="1"/>
      <c r="B85" s="1"/>
      <c r="C85" s="1"/>
    </row>
  </sheetData>
  <mergeCells count="120">
    <mergeCell ref="B84:B85"/>
    <mergeCell ref="C84:C85"/>
    <mergeCell ref="B46:B47"/>
    <mergeCell ref="C46:C47"/>
    <mergeCell ref="B48:B49"/>
    <mergeCell ref="C48:C49"/>
    <mergeCell ref="B50:B51"/>
    <mergeCell ref="C50:C51"/>
    <mergeCell ref="B52:B53"/>
    <mergeCell ref="C52:C53"/>
    <mergeCell ref="B54:B55"/>
    <mergeCell ref="C54:C55"/>
    <mergeCell ref="B56:B57"/>
    <mergeCell ref="C56:C57"/>
    <mergeCell ref="B76:B77"/>
    <mergeCell ref="C76:C77"/>
    <mergeCell ref="B78:B79"/>
    <mergeCell ref="C78:C79"/>
    <mergeCell ref="B80:B81"/>
    <mergeCell ref="C80:C81"/>
    <mergeCell ref="B82:B83"/>
    <mergeCell ref="C82:C83"/>
    <mergeCell ref="B70:B71"/>
    <mergeCell ref="C70:C71"/>
    <mergeCell ref="B58:B59"/>
    <mergeCell ref="C58:C59"/>
    <mergeCell ref="B60:B61"/>
    <mergeCell ref="C60:C61"/>
    <mergeCell ref="B62:B63"/>
    <mergeCell ref="C62:C63"/>
    <mergeCell ref="A76:A77"/>
    <mergeCell ref="A78:A79"/>
    <mergeCell ref="A80:A81"/>
    <mergeCell ref="B72:B73"/>
    <mergeCell ref="C72:C73"/>
    <mergeCell ref="B74:B75"/>
    <mergeCell ref="C74:C75"/>
    <mergeCell ref="B64:B65"/>
    <mergeCell ref="C64:C65"/>
    <mergeCell ref="B66:B67"/>
    <mergeCell ref="C66:C67"/>
    <mergeCell ref="B68:B69"/>
    <mergeCell ref="C68:C69"/>
    <mergeCell ref="A82:A83"/>
    <mergeCell ref="A84:A85"/>
    <mergeCell ref="A66:A67"/>
    <mergeCell ref="A68:A69"/>
    <mergeCell ref="A70:A71"/>
    <mergeCell ref="A72:A73"/>
    <mergeCell ref="A74:A75"/>
    <mergeCell ref="A56:A57"/>
    <mergeCell ref="A58:A59"/>
    <mergeCell ref="A60:A61"/>
    <mergeCell ref="A62:A63"/>
    <mergeCell ref="A64:A65"/>
    <mergeCell ref="A48:A49"/>
    <mergeCell ref="A50:A51"/>
    <mergeCell ref="A52:A53"/>
    <mergeCell ref="A54:A55"/>
    <mergeCell ref="H40:H41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G38:G39"/>
    <mergeCell ref="G40:G41"/>
    <mergeCell ref="G28:G29"/>
    <mergeCell ref="G30:G31"/>
    <mergeCell ref="G32:G33"/>
    <mergeCell ref="G34:G35"/>
    <mergeCell ref="G36:G37"/>
    <mergeCell ref="H16:H17"/>
    <mergeCell ref="G26:G27"/>
    <mergeCell ref="G14:G15"/>
    <mergeCell ref="G16:G17"/>
    <mergeCell ref="G18:G19"/>
    <mergeCell ref="G20:G21"/>
    <mergeCell ref="G22:G23"/>
    <mergeCell ref="G24:G25"/>
    <mergeCell ref="A46:A47"/>
    <mergeCell ref="A4:A5"/>
    <mergeCell ref="A6:A7"/>
    <mergeCell ref="H2:H3"/>
    <mergeCell ref="H4:H5"/>
    <mergeCell ref="H6:H7"/>
    <mergeCell ref="H8:H9"/>
    <mergeCell ref="H10:H11"/>
    <mergeCell ref="H12:H13"/>
    <mergeCell ref="H14:H15"/>
    <mergeCell ref="A8:A9"/>
    <mergeCell ref="A10:A11"/>
    <mergeCell ref="A36:A37"/>
    <mergeCell ref="A38:A39"/>
    <mergeCell ref="A40:A41"/>
    <mergeCell ref="G2:G3"/>
    <mergeCell ref="G4:G5"/>
    <mergeCell ref="G6:G7"/>
    <mergeCell ref="G8:G9"/>
    <mergeCell ref="G10:G11"/>
    <mergeCell ref="G12:G13"/>
    <mergeCell ref="A26:A27"/>
    <mergeCell ref="A28:A29"/>
    <mergeCell ref="A30:A31"/>
    <mergeCell ref="A32:A33"/>
    <mergeCell ref="A34:A35"/>
    <mergeCell ref="A14:A15"/>
    <mergeCell ref="A16:A17"/>
    <mergeCell ref="A18:A19"/>
    <mergeCell ref="A20:A21"/>
    <mergeCell ref="A22:A23"/>
    <mergeCell ref="A24:A25"/>
    <mergeCell ref="A12:A13"/>
    <mergeCell ref="A2:A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Idalia Cisneros</dc:creator>
  <cp:keywords/>
  <dc:description/>
  <cp:lastModifiedBy/>
  <cp:revision/>
  <dcterms:created xsi:type="dcterms:W3CDTF">2022-05-16T17:19:04Z</dcterms:created>
  <dcterms:modified xsi:type="dcterms:W3CDTF">2022-08-23T21:57:14Z</dcterms:modified>
  <cp:category/>
  <cp:contentStatus/>
</cp:coreProperties>
</file>